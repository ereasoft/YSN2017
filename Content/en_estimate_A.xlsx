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YSN2017\Content\"/>
    </mc:Choice>
  </mc:AlternateContent>
  <xr:revisionPtr revIDLastSave="0" documentId="13_ncr:1_{BADFDF33-F094-4EC3-89D1-4AB19B104916}" xr6:coauthVersionLast="45" xr6:coauthVersionMax="45" xr10:uidLastSave="{00000000-0000-0000-0000-000000000000}"/>
  <bookViews>
    <workbookView xWindow="28680" yWindow="-120" windowWidth="29040" windowHeight="15840" xr2:uid="{9B53283D-65AC-4FD3-9D45-BDB97CC9F80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6" i="1" l="1"/>
  <c r="E31" i="1"/>
  <c r="F31" i="1" s="1"/>
  <c r="E26" i="1"/>
  <c r="E36" i="1" s="1"/>
  <c r="F26" i="1" l="1"/>
  <c r="F36" i="1" s="1"/>
</calcChain>
</file>

<file path=xl/sharedStrings.xml><?xml version="1.0" encoding="utf-8"?>
<sst xmlns="http://schemas.openxmlformats.org/spreadsheetml/2006/main" count="58" uniqueCount="56">
  <si>
    <t xml:space="preserve">                 INCHEON, KOREA</t>
  </si>
  <si>
    <t xml:space="preserve"> TEL : 82-32-575-8811</t>
  </si>
  <si>
    <t xml:space="preserve">FAX : 82-32-578-0485 </t>
  </si>
  <si>
    <t xml:space="preserve"> </t>
  </si>
  <si>
    <t xml:space="preserve">DATE : </t>
    <phoneticPr fontId="1" type="noConversion"/>
  </si>
  <si>
    <t xml:space="preserve">OUR REF. : </t>
    <phoneticPr fontId="1" type="noConversion"/>
  </si>
  <si>
    <t>PROFORMA INVOICE</t>
    <phoneticPr fontId="1" type="noConversion"/>
  </si>
  <si>
    <t xml:space="preserve"> We are pleased to offer the under-mentioned article(s) as per conditions and details described as below.</t>
    <phoneticPr fontId="1" type="noConversion"/>
  </si>
  <si>
    <t>Origin</t>
  </si>
  <si>
    <t>: Republic of Korea</t>
  </si>
  <si>
    <t>Packing</t>
  </si>
  <si>
    <t>: Export Standard Packaging</t>
  </si>
  <si>
    <t>Shipment</t>
  </si>
  <si>
    <t>: To be advised</t>
    <phoneticPr fontId="1" type="noConversion"/>
  </si>
  <si>
    <t>Shipping port</t>
  </si>
  <si>
    <t>Inspection</t>
  </si>
  <si>
    <t>: Manufacturer Standard</t>
    <phoneticPr fontId="1" type="noConversion"/>
  </si>
  <si>
    <t>Destination</t>
  </si>
  <si>
    <t>Payment</t>
  </si>
  <si>
    <t>: By T/T 50% in advance, 50% before shipment</t>
  </si>
  <si>
    <t>Currency</t>
    <phoneticPr fontId="1" type="noConversion"/>
  </si>
  <si>
    <t>: KRW</t>
    <phoneticPr fontId="1" type="noConversion"/>
  </si>
  <si>
    <t>Delivery Term</t>
    <phoneticPr fontId="1" type="noConversion"/>
  </si>
  <si>
    <t>: FOB KOREA</t>
    <phoneticPr fontId="1" type="noConversion"/>
  </si>
  <si>
    <t>Validity</t>
  </si>
  <si>
    <t>: Valid in 30days after date of issue.</t>
    <phoneticPr fontId="1" type="noConversion"/>
  </si>
  <si>
    <t>Item Name</t>
    <phoneticPr fontId="1" type="noConversion"/>
  </si>
  <si>
    <t>Item Code</t>
    <phoneticPr fontId="1" type="noConversion"/>
  </si>
  <si>
    <t>Commodity &amp; Description</t>
    <phoneticPr fontId="13" type="noConversion"/>
  </si>
  <si>
    <t>Quantity</t>
    <phoneticPr fontId="13" type="noConversion"/>
  </si>
  <si>
    <t>Unit price</t>
    <phoneticPr fontId="13" type="noConversion"/>
  </si>
  <si>
    <t>Amount</t>
    <phoneticPr fontId="13" type="noConversion"/>
  </si>
  <si>
    <t>QP(FIL)3-1234 BOTTLE</t>
    <phoneticPr fontId="13" type="noConversion"/>
  </si>
  <si>
    <t>BOTTLE TOTAL</t>
  </si>
  <si>
    <t xml:space="preserve">  BOTTLE BASE</t>
    <phoneticPr fontId="13" type="noConversion"/>
  </si>
  <si>
    <t xml:space="preserve">  S/S 2 PASS</t>
    <phoneticPr fontId="13" type="noConversion"/>
  </si>
  <si>
    <t xml:space="preserve">  H/S 20ML</t>
    <phoneticPr fontId="13" type="noConversion"/>
  </si>
  <si>
    <t>QP(FIL)3-1234 INNER CAP</t>
    <phoneticPr fontId="1" type="noConversion"/>
  </si>
  <si>
    <t>PUMP TOTAL</t>
  </si>
  <si>
    <t xml:space="preserve">  PUMP BASE</t>
    <phoneticPr fontId="13" type="noConversion"/>
  </si>
  <si>
    <t xml:space="preserve">  PEARLIZED</t>
    <phoneticPr fontId="13" type="noConversion"/>
  </si>
  <si>
    <t xml:space="preserve">  COATING - METALLIC</t>
    <phoneticPr fontId="13" type="noConversion"/>
  </si>
  <si>
    <t>QP(FIL)3-1234 SET</t>
    <phoneticPr fontId="1" type="noConversion"/>
  </si>
  <si>
    <t>PRODUCT CODE: AS0003-SSL/PP</t>
    <phoneticPr fontId="1" type="noConversion"/>
  </si>
  <si>
    <t>PRODUCT NAME: PP SLIM 3ML</t>
    <phoneticPr fontId="1" type="noConversion"/>
  </si>
  <si>
    <t xml:space="preserve"> </t>
    <phoneticPr fontId="13" type="noConversion"/>
  </si>
  <si>
    <t>BANK INFORMATION</t>
  </si>
  <si>
    <t>BANK NAME : WOORI BANK JUAN INDUSTRIAL BRANCH</t>
  </si>
  <si>
    <t>BANK ADDRESS : 539-1 GAJWA-DONG SEO-GU,</t>
  </si>
  <si>
    <t xml:space="preserve">                      INCHEON KOREA JUAN INDUSTRIAL BRANCH</t>
    <phoneticPr fontId="1" type="noConversion"/>
  </si>
  <si>
    <t>SWIFT CODE : HVBKKRSEXXX</t>
  </si>
  <si>
    <t>ACCOUNT NO. : 1081-700-147963</t>
  </si>
  <si>
    <t>Looking forward to your valued order for the above offer,</t>
    <phoneticPr fontId="1" type="noConversion"/>
  </si>
  <si>
    <t>yours faithfully,</t>
    <phoneticPr fontId="1" type="noConversion"/>
  </si>
  <si>
    <t>PURI COMPANY LIMITED</t>
    <phoneticPr fontId="1" type="noConversion"/>
  </si>
  <si>
    <t xml:space="preserve">Messrs. 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</si>
</sst>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d&quot;-&quot;mmm&quot;-&quot;yy;@"/>
    <numFmt numFmtId="177" formatCode="#,##0_ "/>
    <numFmt numFmtId="178" formatCode="_-* #,##0.0_-;\-* #,##0.0_-;_-* &quot;-&quot;_-;_-@_-"/>
    <numFmt numFmtId="179" formatCode="#,##0.00_);[Red]\(#,##0.00\)"/>
  </numFmts>
  <fonts count="2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  <font>
      <sz val="11"/>
      <name val="돋움"/>
      <family val="3"/>
      <charset val="129"/>
    </font>
    <font>
      <sz val="9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</font>
    <font>
      <b/>
      <u/>
      <sz val="18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8"/>
      <color rgb="FFFF0000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0" xfId="2">
      <alignment vertical="center"/>
    </xf>
    <xf numFmtId="0" fontId="3" fillId="0" borderId="0" xfId="2" applyFont="1" applyAlignment="1">
      <alignment horizontal="right" vertical="center"/>
    </xf>
    <xf numFmtId="0" fontId="3" fillId="0" borderId="0" xfId="2" applyFont="1">
      <alignment vertical="center"/>
    </xf>
    <xf numFmtId="0" fontId="4" fillId="0" borderId="0" xfId="2" applyFont="1">
      <alignment vertical="center"/>
    </xf>
    <xf numFmtId="0" fontId="6" fillId="0" borderId="0" xfId="3" applyFont="1">
      <alignment vertical="center"/>
    </xf>
    <xf numFmtId="0" fontId="7" fillId="0" borderId="0" xfId="2" applyFont="1">
      <alignment vertical="center"/>
    </xf>
    <xf numFmtId="0" fontId="8" fillId="0" borderId="1" xfId="2" applyFont="1" applyBorder="1" applyAlignment="1">
      <alignment horizontal="right" vertical="center"/>
    </xf>
    <xf numFmtId="176" fontId="8" fillId="0" borderId="1" xfId="2" applyNumberFormat="1" applyFont="1" applyBorder="1" applyAlignment="1">
      <alignment horizontal="left" vertical="center"/>
    </xf>
    <xf numFmtId="0" fontId="9" fillId="0" borderId="2" xfId="3" applyFont="1" applyBorder="1" applyAlignment="1">
      <alignment horizontal="right" vertical="center"/>
    </xf>
    <xf numFmtId="0" fontId="9" fillId="0" borderId="2" xfId="3" applyFont="1" applyBorder="1" applyAlignment="1">
      <alignment horizontal="left" vertical="center"/>
    </xf>
    <xf numFmtId="0" fontId="10" fillId="0" borderId="0" xfId="3" applyFont="1" applyAlignment="1">
      <alignment horizontal="center" vertical="center"/>
    </xf>
    <xf numFmtId="0" fontId="9" fillId="0" borderId="0" xfId="3" applyFont="1">
      <alignment vertical="center"/>
    </xf>
    <xf numFmtId="0" fontId="8" fillId="0" borderId="0" xfId="2" applyFont="1">
      <alignment vertical="center"/>
    </xf>
    <xf numFmtId="0" fontId="11" fillId="0" borderId="0" xfId="3" applyFont="1">
      <alignment vertical="center"/>
    </xf>
    <xf numFmtId="0" fontId="12" fillId="2" borderId="3" xfId="3" applyFont="1" applyFill="1" applyBorder="1" applyAlignment="1">
      <alignment horizontal="center" vertical="center"/>
    </xf>
    <xf numFmtId="0" fontId="12" fillId="2" borderId="3" xfId="3" applyFont="1" applyFill="1" applyBorder="1" applyAlignment="1">
      <alignment horizontal="center" vertical="center" wrapText="1"/>
    </xf>
    <xf numFmtId="0" fontId="9" fillId="0" borderId="4" xfId="3" applyFont="1" applyBorder="1" applyAlignment="1">
      <alignment horizontal="left" vertical="center"/>
    </xf>
    <xf numFmtId="0" fontId="9" fillId="0" borderId="5" xfId="3" applyFont="1" applyBorder="1" applyAlignment="1">
      <alignment horizontal="left" vertical="center"/>
    </xf>
    <xf numFmtId="177" fontId="9" fillId="0" borderId="5" xfId="3" applyNumberFormat="1" applyFont="1" applyBorder="1" applyAlignment="1">
      <alignment horizontal="center" vertical="center"/>
    </xf>
    <xf numFmtId="0" fontId="14" fillId="0" borderId="5" xfId="3" applyFont="1" applyBorder="1" applyAlignment="1">
      <alignment horizontal="left" vertical="center"/>
    </xf>
    <xf numFmtId="41" fontId="14" fillId="0" borderId="5" xfId="1" applyFont="1" applyBorder="1" applyAlignment="1">
      <alignment horizontal="center" vertical="center"/>
    </xf>
    <xf numFmtId="178" fontId="14" fillId="0" borderId="5" xfId="1" applyNumberFormat="1" applyFont="1" applyBorder="1" applyAlignment="1">
      <alignment horizontal="center" vertical="center"/>
    </xf>
    <xf numFmtId="0" fontId="15" fillId="0" borderId="0" xfId="2" applyFont="1">
      <alignment vertical="center"/>
    </xf>
    <xf numFmtId="0" fontId="16" fillId="0" borderId="0" xfId="2" applyFont="1">
      <alignment vertical="center"/>
    </xf>
    <xf numFmtId="41" fontId="9" fillId="0" borderId="5" xfId="1" applyFont="1" applyBorder="1" applyAlignment="1">
      <alignment horizontal="center" vertical="center"/>
    </xf>
    <xf numFmtId="178" fontId="9" fillId="0" borderId="5" xfId="1" applyNumberFormat="1" applyFont="1" applyBorder="1" applyAlignment="1">
      <alignment horizontal="center" vertical="center"/>
    </xf>
    <xf numFmtId="0" fontId="17" fillId="0" borderId="0" xfId="2" applyFont="1">
      <alignment vertical="center"/>
    </xf>
    <xf numFmtId="0" fontId="18" fillId="0" borderId="0" xfId="2" applyFont="1">
      <alignment vertical="center"/>
    </xf>
    <xf numFmtId="0" fontId="19" fillId="0" borderId="0" xfId="2" applyFont="1">
      <alignment vertical="center"/>
    </xf>
    <xf numFmtId="0" fontId="20" fillId="0" borderId="6" xfId="3" applyFont="1" applyBorder="1" applyAlignment="1">
      <alignment horizontal="left" vertical="center"/>
    </xf>
    <xf numFmtId="0" fontId="20" fillId="0" borderId="6" xfId="3" applyFont="1" applyBorder="1" applyAlignment="1">
      <alignment horizontal="left" vertical="center"/>
    </xf>
    <xf numFmtId="0" fontId="20" fillId="0" borderId="4" xfId="3" applyFont="1" applyBorder="1" applyAlignment="1">
      <alignment horizontal="left" vertical="center" wrapText="1"/>
    </xf>
    <xf numFmtId="178" fontId="14" fillId="0" borderId="4" xfId="1" applyNumberFormat="1" applyFont="1" applyBorder="1" applyAlignment="1">
      <alignment horizontal="center" vertical="center"/>
    </xf>
    <xf numFmtId="0" fontId="20" fillId="0" borderId="7" xfId="3" applyFont="1" applyBorder="1" applyAlignment="1">
      <alignment horizontal="left" vertical="center"/>
    </xf>
    <xf numFmtId="0" fontId="20" fillId="0" borderId="7" xfId="3" applyFont="1" applyBorder="1" applyAlignment="1">
      <alignment horizontal="left" vertical="center"/>
    </xf>
    <xf numFmtId="0" fontId="20" fillId="0" borderId="8" xfId="3" applyFont="1" applyBorder="1" applyAlignment="1">
      <alignment horizontal="left" vertical="center" wrapText="1"/>
    </xf>
    <xf numFmtId="178" fontId="14" fillId="0" borderId="8" xfId="1" applyNumberFormat="1" applyFont="1" applyBorder="1" applyAlignment="1">
      <alignment horizontal="center" vertical="center"/>
    </xf>
    <xf numFmtId="0" fontId="21" fillId="0" borderId="0" xfId="2" applyFont="1">
      <alignment vertical="center"/>
    </xf>
    <xf numFmtId="0" fontId="22" fillId="0" borderId="0" xfId="2" applyFont="1" applyAlignment="1">
      <alignment horizontal="right" vertical="center"/>
    </xf>
    <xf numFmtId="179" fontId="22" fillId="0" borderId="0" xfId="2" applyNumberFormat="1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49" fontId="23" fillId="0" borderId="0" xfId="2" applyNumberFormat="1" applyFont="1" applyAlignment="1">
      <alignment horizontal="left" vertical="center"/>
    </xf>
    <xf numFmtId="0" fontId="24" fillId="0" borderId="0" xfId="2" applyFont="1" applyAlignment="1">
      <alignment horizontal="right" vertical="center"/>
    </xf>
    <xf numFmtId="0" fontId="22" fillId="0" borderId="0" xfId="2" applyFont="1" applyAlignment="1">
      <alignment horizontal="left" vertical="center"/>
    </xf>
    <xf numFmtId="0" fontId="21" fillId="0" borderId="0" xfId="2" applyFont="1" applyAlignment="1">
      <alignment horizontal="right" vertical="center"/>
    </xf>
    <xf numFmtId="0" fontId="22" fillId="0" borderId="0" xfId="2" applyFont="1">
      <alignment vertical="center"/>
    </xf>
    <xf numFmtId="49" fontId="13" fillId="0" borderId="0" xfId="2" applyNumberFormat="1" applyFont="1">
      <alignment vertical="center"/>
    </xf>
    <xf numFmtId="49" fontId="9" fillId="0" borderId="0" xfId="3" applyNumberFormat="1" applyFont="1">
      <alignment vertical="center"/>
    </xf>
    <xf numFmtId="0" fontId="9" fillId="0" borderId="0" xfId="3" applyFont="1" applyAlignment="1">
      <alignment horizontal="right" vertical="center"/>
    </xf>
    <xf numFmtId="0" fontId="2" fillId="0" borderId="1" xfId="2" applyBorder="1">
      <alignment vertical="center"/>
    </xf>
    <xf numFmtId="0" fontId="15" fillId="0" borderId="9" xfId="2" applyFont="1" applyBorder="1" applyAlignment="1">
      <alignment horizontal="center" vertical="center"/>
    </xf>
  </cellXfs>
  <cellStyles count="4">
    <cellStyle name="쉼표 [0]" xfId="1" builtinId="6"/>
    <cellStyle name="표준" xfId="0" builtinId="0"/>
    <cellStyle name="표준 2 2" xfId="3" xr:uid="{3145E8E5-2C24-4FD8-96D9-DFCA2BC0AB35}"/>
    <cellStyle name="표준 3" xfId="2" xr:uid="{08D02727-453C-40BD-A48A-BCADEDBF83B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142875</xdr:rowOff>
    </xdr:from>
    <xdr:to>
      <xdr:col>2</xdr:col>
      <xdr:colOff>2026920</xdr:colOff>
      <xdr:row>3</xdr:row>
      <xdr:rowOff>133350</xdr:rowOff>
    </xdr:to>
    <xdr:pic>
      <xdr:nvPicPr>
        <xdr:cNvPr id="2" name="그림 2" descr="2013 연우 최종 신규 로고_RGB.jpg">
          <a:extLst>
            <a:ext uri="{FF2B5EF4-FFF2-40B4-BE49-F238E27FC236}">
              <a16:creationId xmlns:a16="http://schemas.microsoft.com/office/drawing/2014/main" id="{44EB1052-7A1E-4E82-8825-467D272BF0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142875"/>
          <a:ext cx="424624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0</xdr:colOff>
      <xdr:row>47</xdr:row>
      <xdr:rowOff>102854</xdr:rowOff>
    </xdr:from>
    <xdr:to>
      <xdr:col>5</xdr:col>
      <xdr:colOff>485776</xdr:colOff>
      <xdr:row>49</xdr:row>
      <xdr:rowOff>173372</xdr:rowOff>
    </xdr:to>
    <xdr:pic>
      <xdr:nvPicPr>
        <xdr:cNvPr id="3" name="Picture 1" descr="PI%20STAMP">
          <a:extLst>
            <a:ext uri="{FF2B5EF4-FFF2-40B4-BE49-F238E27FC236}">
              <a16:creationId xmlns:a16="http://schemas.microsoft.com/office/drawing/2014/main" id="{380EDF5D-32AD-4ED9-A243-868818BD8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57725" y="9056354"/>
          <a:ext cx="2524126" cy="48961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CE4C-E0C0-4C9A-A43E-AB4E84588C4C}">
  <dimension ref="A2:H51"/>
  <sheetViews>
    <sheetView tabSelected="1" workbookViewId="0">
      <selection activeCell="E19" sqref="E19"/>
    </sheetView>
  </sheetViews>
  <sheetFormatPr defaultColWidth="9" defaultRowHeight="16.5" x14ac:dyDescent="0.3"/>
  <cols>
    <col min="1" max="1" width="19.25" style="1" customWidth="1"/>
    <col min="2" max="2" width="10.25" style="1" customWidth="1"/>
    <col min="3" max="3" width="31.625" style="1" customWidth="1"/>
    <col min="4" max="6" width="13.375" style="1" customWidth="1"/>
    <col min="7" max="7" width="9" style="1"/>
    <col min="8" max="8" width="9" style="3"/>
    <col min="9" max="16384" width="9" style="1"/>
  </cols>
  <sheetData>
    <row r="2" spans="1:6" x14ac:dyDescent="0.3">
      <c r="D2" s="2"/>
      <c r="E2" s="2"/>
      <c r="F2" s="2"/>
    </row>
    <row r="3" spans="1:6" x14ac:dyDescent="0.3">
      <c r="D3" s="2" t="s">
        <v>0</v>
      </c>
      <c r="E3" s="2"/>
      <c r="F3" s="2"/>
    </row>
    <row r="4" spans="1:6" x14ac:dyDescent="0.3">
      <c r="D4" s="2" t="s">
        <v>1</v>
      </c>
      <c r="E4" s="2"/>
      <c r="F4" s="2"/>
    </row>
    <row r="5" spans="1:6" x14ac:dyDescent="0.3">
      <c r="D5" s="2" t="s">
        <v>2</v>
      </c>
      <c r="E5" s="2"/>
      <c r="F5" s="2"/>
    </row>
    <row r="6" spans="1:6" ht="7.5" customHeight="1" x14ac:dyDescent="0.3">
      <c r="A6" s="4"/>
      <c r="B6" s="4"/>
      <c r="C6" s="4"/>
      <c r="D6" s="4" t="s">
        <v>3</v>
      </c>
      <c r="E6" s="4"/>
      <c r="F6" s="4"/>
    </row>
    <row r="7" spans="1:6" ht="15" customHeight="1" x14ac:dyDescent="0.3">
      <c r="A7" s="5" t="s">
        <v>55</v>
      </c>
      <c r="B7" s="5"/>
      <c r="C7" s="6"/>
      <c r="D7" s="7" t="s">
        <v>4</v>
      </c>
      <c r="E7" s="8"/>
      <c r="F7" s="8"/>
    </row>
    <row r="8" spans="1:6" ht="15" customHeight="1" x14ac:dyDescent="0.3">
      <c r="A8" s="6"/>
      <c r="B8" s="6"/>
      <c r="C8" s="6"/>
      <c r="D8" s="9" t="s">
        <v>5</v>
      </c>
      <c r="E8" s="10"/>
      <c r="F8" s="10"/>
    </row>
    <row r="9" spans="1:6" ht="10.5" customHeight="1" x14ac:dyDescent="0.3">
      <c r="A9" s="4"/>
      <c r="B9" s="4"/>
      <c r="C9" s="4"/>
      <c r="D9" s="4"/>
      <c r="E9" s="4"/>
      <c r="F9" s="4"/>
    </row>
    <row r="10" spans="1:6" ht="26.25" x14ac:dyDescent="0.3">
      <c r="A10" s="11" t="s">
        <v>6</v>
      </c>
      <c r="B10" s="11"/>
      <c r="C10" s="11"/>
      <c r="D10" s="11"/>
      <c r="E10" s="11"/>
      <c r="F10" s="11"/>
    </row>
    <row r="11" spans="1:6" ht="11.25" customHeight="1" x14ac:dyDescent="0.3">
      <c r="A11" s="4"/>
      <c r="B11" s="4"/>
      <c r="C11" s="4"/>
      <c r="D11" s="4"/>
      <c r="E11" s="4"/>
      <c r="F11" s="4"/>
    </row>
    <row r="12" spans="1:6" ht="14.25" customHeight="1" x14ac:dyDescent="0.3">
      <c r="A12" s="12" t="s">
        <v>7</v>
      </c>
      <c r="B12" s="12"/>
      <c r="C12" s="13"/>
      <c r="D12" s="13"/>
      <c r="E12" s="13"/>
      <c r="F12" s="13"/>
    </row>
    <row r="13" spans="1:6" ht="14.25" customHeight="1" x14ac:dyDescent="0.3">
      <c r="A13" s="12" t="s">
        <v>8</v>
      </c>
      <c r="B13" s="12" t="s">
        <v>9</v>
      </c>
      <c r="C13" s="12"/>
      <c r="D13" s="12"/>
      <c r="E13" s="12"/>
      <c r="F13" s="13"/>
    </row>
    <row r="14" spans="1:6" ht="14.25" customHeight="1" x14ac:dyDescent="0.3">
      <c r="A14" s="12" t="s">
        <v>10</v>
      </c>
      <c r="B14" s="12" t="s">
        <v>11</v>
      </c>
      <c r="C14" s="12"/>
      <c r="D14" s="12"/>
      <c r="E14" s="12"/>
      <c r="F14" s="13"/>
    </row>
    <row r="15" spans="1:6" ht="14.25" customHeight="1" x14ac:dyDescent="0.3">
      <c r="A15" s="12" t="s">
        <v>12</v>
      </c>
      <c r="B15" s="12" t="s">
        <v>13</v>
      </c>
      <c r="C15" s="12"/>
      <c r="D15" s="12"/>
      <c r="E15" s="12"/>
      <c r="F15" s="13"/>
    </row>
    <row r="16" spans="1:6" ht="14.25" customHeight="1" x14ac:dyDescent="0.3">
      <c r="A16" s="12" t="s">
        <v>14</v>
      </c>
      <c r="B16" s="12" t="s">
        <v>13</v>
      </c>
      <c r="C16" s="12"/>
      <c r="D16" s="12"/>
      <c r="E16" s="12"/>
      <c r="F16" s="13"/>
    </row>
    <row r="17" spans="1:8" ht="14.25" customHeight="1" x14ac:dyDescent="0.3">
      <c r="A17" s="12" t="s">
        <v>15</v>
      </c>
      <c r="B17" s="12" t="s">
        <v>16</v>
      </c>
      <c r="C17" s="12"/>
      <c r="D17" s="12"/>
      <c r="E17" s="12"/>
      <c r="F17" s="13"/>
    </row>
    <row r="18" spans="1:8" ht="14.25" customHeight="1" x14ac:dyDescent="0.3">
      <c r="A18" s="12" t="s">
        <v>17</v>
      </c>
      <c r="B18" s="12" t="s">
        <v>13</v>
      </c>
      <c r="C18" s="12"/>
      <c r="D18" s="12"/>
      <c r="E18" s="12"/>
      <c r="F18" s="13"/>
    </row>
    <row r="19" spans="1:8" ht="14.25" customHeight="1" x14ac:dyDescent="0.3">
      <c r="A19" s="12" t="s">
        <v>18</v>
      </c>
      <c r="B19" s="12" t="s">
        <v>19</v>
      </c>
      <c r="C19" s="12"/>
      <c r="D19" s="12"/>
      <c r="E19" s="12"/>
      <c r="F19" s="13"/>
    </row>
    <row r="20" spans="1:8" ht="14.25" customHeight="1" x14ac:dyDescent="0.3">
      <c r="A20" s="12" t="s">
        <v>20</v>
      </c>
      <c r="B20" s="12" t="s">
        <v>21</v>
      </c>
      <c r="C20" s="12"/>
      <c r="D20" s="12"/>
      <c r="E20" s="12"/>
      <c r="F20" s="13"/>
    </row>
    <row r="21" spans="1:8" ht="14.25" customHeight="1" x14ac:dyDescent="0.3">
      <c r="A21" s="12" t="s">
        <v>22</v>
      </c>
      <c r="B21" s="12" t="s">
        <v>23</v>
      </c>
      <c r="C21" s="12"/>
      <c r="D21" s="12"/>
      <c r="E21" s="12"/>
      <c r="F21" s="13"/>
    </row>
    <row r="22" spans="1:8" ht="14.25" customHeight="1" x14ac:dyDescent="0.3">
      <c r="A22" s="12" t="s">
        <v>24</v>
      </c>
      <c r="B22" s="12" t="s">
        <v>25</v>
      </c>
      <c r="C22" s="12"/>
      <c r="D22" s="12"/>
      <c r="E22" s="12"/>
      <c r="F22" s="13"/>
    </row>
    <row r="23" spans="1:8" ht="11.25" customHeight="1" x14ac:dyDescent="0.3">
      <c r="D23" s="14"/>
      <c r="E23" s="14"/>
      <c r="F23" s="4"/>
    </row>
    <row r="24" spans="1:8" ht="31.9" customHeight="1" x14ac:dyDescent="0.3">
      <c r="A24" s="15" t="s">
        <v>26</v>
      </c>
      <c r="B24" s="15" t="s">
        <v>27</v>
      </c>
      <c r="C24" s="15" t="s">
        <v>28</v>
      </c>
      <c r="D24" s="16" t="s">
        <v>29</v>
      </c>
      <c r="E24" s="16" t="s">
        <v>30</v>
      </c>
      <c r="F24" s="16" t="s">
        <v>31</v>
      </c>
    </row>
    <row r="25" spans="1:8" ht="13.5" customHeight="1" x14ac:dyDescent="0.3">
      <c r="A25" s="17"/>
      <c r="B25" s="18"/>
      <c r="C25" s="18"/>
      <c r="D25" s="19"/>
      <c r="E25" s="19"/>
      <c r="F25" s="19"/>
    </row>
    <row r="26" spans="1:8" s="23" customFormat="1" ht="13.5" customHeight="1" x14ac:dyDescent="0.3">
      <c r="A26" s="20" t="s">
        <v>32</v>
      </c>
      <c r="B26" s="20"/>
      <c r="C26" s="20" t="s">
        <v>33</v>
      </c>
      <c r="D26" s="21">
        <v>10000</v>
      </c>
      <c r="E26" s="22">
        <f t="shared" ref="E26" si="0">SUM(E27:E29)</f>
        <v>247.15332768103269</v>
      </c>
      <c r="F26" s="21">
        <f>D26*E26</f>
        <v>2471533.2768103271</v>
      </c>
      <c r="H26" s="24"/>
    </row>
    <row r="27" spans="1:8" ht="13.5" customHeight="1" x14ac:dyDescent="0.3">
      <c r="A27" s="18"/>
      <c r="B27" s="18"/>
      <c r="C27" s="18" t="s">
        <v>34</v>
      </c>
      <c r="D27" s="25"/>
      <c r="E27" s="26">
        <v>77.153327681032692</v>
      </c>
      <c r="F27" s="25"/>
      <c r="H27" s="27"/>
    </row>
    <row r="28" spans="1:8" ht="13.5" customHeight="1" x14ac:dyDescent="0.3">
      <c r="A28" s="18"/>
      <c r="B28" s="18"/>
      <c r="C28" s="18" t="s">
        <v>35</v>
      </c>
      <c r="D28" s="25"/>
      <c r="E28" s="26">
        <v>70</v>
      </c>
      <c r="F28" s="25"/>
      <c r="H28" s="27"/>
    </row>
    <row r="29" spans="1:8" ht="13.5" customHeight="1" x14ac:dyDescent="0.3">
      <c r="A29" s="18"/>
      <c r="B29" s="18"/>
      <c r="C29" s="18" t="s">
        <v>36</v>
      </c>
      <c r="D29" s="25"/>
      <c r="E29" s="26">
        <v>100</v>
      </c>
      <c r="F29" s="25"/>
      <c r="H29" s="27"/>
    </row>
    <row r="30" spans="1:8" ht="13.5" customHeight="1" x14ac:dyDescent="0.3">
      <c r="A30" s="18"/>
      <c r="B30" s="18"/>
      <c r="C30" s="18"/>
      <c r="D30" s="25"/>
      <c r="E30" s="26"/>
      <c r="F30" s="25"/>
      <c r="H30" s="27"/>
    </row>
    <row r="31" spans="1:8" s="23" customFormat="1" ht="13.5" customHeight="1" x14ac:dyDescent="0.3">
      <c r="A31" s="20" t="s">
        <v>37</v>
      </c>
      <c r="B31" s="20"/>
      <c r="C31" s="20" t="s">
        <v>38</v>
      </c>
      <c r="D31" s="21">
        <v>10000</v>
      </c>
      <c r="E31" s="22">
        <f>SUM(E32:E34)</f>
        <v>590</v>
      </c>
      <c r="F31" s="21">
        <f>D31*E31</f>
        <v>5900000</v>
      </c>
      <c r="H31" s="28"/>
    </row>
    <row r="32" spans="1:8" s="29" customFormat="1" ht="13.5" customHeight="1" x14ac:dyDescent="0.3">
      <c r="A32" s="18"/>
      <c r="B32" s="18"/>
      <c r="C32" s="18" t="s">
        <v>39</v>
      </c>
      <c r="D32" s="26"/>
      <c r="E32" s="26">
        <v>390</v>
      </c>
      <c r="F32" s="26"/>
      <c r="H32" s="27"/>
    </row>
    <row r="33" spans="1:8" ht="13.5" customHeight="1" x14ac:dyDescent="0.3">
      <c r="A33" s="18"/>
      <c r="B33" s="18"/>
      <c r="C33" s="18" t="s">
        <v>40</v>
      </c>
      <c r="D33" s="26"/>
      <c r="E33" s="26">
        <v>10</v>
      </c>
      <c r="F33" s="26"/>
      <c r="H33" s="27"/>
    </row>
    <row r="34" spans="1:8" ht="13.5" customHeight="1" x14ac:dyDescent="0.3">
      <c r="A34" s="18"/>
      <c r="B34" s="18"/>
      <c r="C34" s="18" t="s">
        <v>41</v>
      </c>
      <c r="D34" s="26"/>
      <c r="E34" s="26">
        <v>190</v>
      </c>
      <c r="F34" s="26"/>
      <c r="H34" s="27"/>
    </row>
    <row r="35" spans="1:8" ht="13.5" customHeight="1" x14ac:dyDescent="0.3">
      <c r="A35" s="18"/>
      <c r="B35" s="18"/>
      <c r="C35" s="18"/>
      <c r="D35" s="19"/>
      <c r="E35" s="19"/>
      <c r="F35" s="19"/>
      <c r="H35" s="27"/>
    </row>
    <row r="36" spans="1:8" s="23" customFormat="1" ht="18" customHeight="1" x14ac:dyDescent="0.3">
      <c r="A36" s="30" t="s">
        <v>42</v>
      </c>
      <c r="B36" s="31"/>
      <c r="C36" s="32" t="s">
        <v>43</v>
      </c>
      <c r="D36" s="33">
        <f t="shared" ref="D36:E36" si="1">D26+D31</f>
        <v>20000</v>
      </c>
      <c r="E36" s="33">
        <f t="shared" si="1"/>
        <v>837.15332768103269</v>
      </c>
      <c r="F36" s="33">
        <f>F26+F31</f>
        <v>8371533.2768103275</v>
      </c>
      <c r="H36" s="28"/>
    </row>
    <row r="37" spans="1:8" ht="15" customHeight="1" x14ac:dyDescent="0.3">
      <c r="A37" s="34"/>
      <c r="B37" s="35"/>
      <c r="C37" s="36" t="s">
        <v>44</v>
      </c>
      <c r="D37" s="37"/>
      <c r="E37" s="37"/>
      <c r="F37" s="37"/>
    </row>
    <row r="38" spans="1:8" ht="15" customHeight="1" x14ac:dyDescent="0.3">
      <c r="A38" s="38"/>
      <c r="B38" s="38"/>
      <c r="C38" s="38" t="s">
        <v>45</v>
      </c>
      <c r="D38" s="39"/>
      <c r="E38" s="40"/>
      <c r="F38" s="41"/>
    </row>
    <row r="39" spans="1:8" ht="15" customHeight="1" x14ac:dyDescent="0.3">
      <c r="A39" s="42" t="s">
        <v>46</v>
      </c>
      <c r="B39" s="42"/>
      <c r="C39" s="43"/>
      <c r="D39" s="44"/>
      <c r="E39" s="40"/>
      <c r="F39" s="41"/>
    </row>
    <row r="40" spans="1:8" ht="15" customHeight="1" x14ac:dyDescent="0.3">
      <c r="A40" s="42" t="s">
        <v>47</v>
      </c>
      <c r="B40" s="42"/>
      <c r="C40" s="45"/>
      <c r="D40" s="44"/>
      <c r="E40" s="40"/>
      <c r="F40" s="41"/>
    </row>
    <row r="41" spans="1:8" ht="15" customHeight="1" x14ac:dyDescent="0.3">
      <c r="A41" s="42" t="s">
        <v>48</v>
      </c>
      <c r="B41" s="42"/>
      <c r="C41" s="46"/>
      <c r="D41" s="44"/>
      <c r="E41" s="40"/>
      <c r="F41" s="41"/>
    </row>
    <row r="42" spans="1:8" ht="15" customHeight="1" x14ac:dyDescent="0.3">
      <c r="A42" s="42" t="s">
        <v>49</v>
      </c>
      <c r="B42" s="42"/>
      <c r="D42" s="44"/>
      <c r="E42" s="40"/>
      <c r="F42" s="41"/>
    </row>
    <row r="43" spans="1:8" ht="15" customHeight="1" x14ac:dyDescent="0.3">
      <c r="A43" s="47" t="s">
        <v>50</v>
      </c>
      <c r="B43" s="47"/>
      <c r="D43" s="44"/>
      <c r="E43" s="40"/>
      <c r="F43" s="41"/>
    </row>
    <row r="44" spans="1:8" x14ac:dyDescent="0.3">
      <c r="A44" s="48" t="s">
        <v>51</v>
      </c>
      <c r="B44" s="48"/>
      <c r="D44" s="44"/>
      <c r="E44" s="40"/>
      <c r="F44" s="41"/>
    </row>
    <row r="45" spans="1:8" x14ac:dyDescent="0.3">
      <c r="A45" s="38"/>
      <c r="B45" s="38"/>
      <c r="C45" s="38"/>
      <c r="D45" s="44"/>
      <c r="E45" s="40"/>
      <c r="F45" s="41"/>
    </row>
    <row r="46" spans="1:8" x14ac:dyDescent="0.3">
      <c r="A46" s="49" t="s">
        <v>52</v>
      </c>
      <c r="B46" s="49"/>
      <c r="C46" s="49"/>
      <c r="D46" s="49"/>
      <c r="E46" s="49"/>
      <c r="F46" s="49"/>
    </row>
    <row r="47" spans="1:8" x14ac:dyDescent="0.3">
      <c r="A47" s="49" t="s">
        <v>53</v>
      </c>
      <c r="B47" s="49"/>
      <c r="C47" s="49"/>
      <c r="D47" s="49"/>
      <c r="E47" s="49"/>
      <c r="F47" s="49"/>
    </row>
    <row r="50" spans="1:6" x14ac:dyDescent="0.3">
      <c r="A50" s="50"/>
      <c r="B50" s="50"/>
      <c r="C50" s="50"/>
      <c r="D50" s="50"/>
      <c r="E50" s="50"/>
      <c r="F50" s="50"/>
    </row>
    <row r="51" spans="1:6" x14ac:dyDescent="0.3">
      <c r="A51" s="51" t="s">
        <v>54</v>
      </c>
      <c r="B51" s="51"/>
      <c r="C51" s="51"/>
    </row>
  </sheetData>
  <mergeCells count="14">
    <mergeCell ref="A47:F47"/>
    <mergeCell ref="A51:C51"/>
    <mergeCell ref="A10:F10"/>
    <mergeCell ref="A36:A37"/>
    <mergeCell ref="D36:D37"/>
    <mergeCell ref="E36:E37"/>
    <mergeCell ref="F36:F37"/>
    <mergeCell ref="A46:F46"/>
    <mergeCell ref="D2:F2"/>
    <mergeCell ref="D3:F3"/>
    <mergeCell ref="D4:F4"/>
    <mergeCell ref="D5:F5"/>
    <mergeCell ref="E7:F7"/>
    <mergeCell ref="E8:F8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임근기</dc:creator>
  <cp:lastModifiedBy>임근기</cp:lastModifiedBy>
  <dcterms:created xsi:type="dcterms:W3CDTF">2019-12-25T15:30:02Z</dcterms:created>
  <dcterms:modified xsi:type="dcterms:W3CDTF">2019-12-25T15:41:41Z</dcterms:modified>
</cp:coreProperties>
</file>